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ocu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2FB"/>
      </patternFill>
    </fill>
    <fill>
      <patternFill patternType="solid">
        <fgColor rgb="00FFF9C4"/>
      </patternFill>
    </fill>
    <fill>
      <patternFill patternType="solid">
        <fgColor rgb="001A936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6" customWidth="1" min="5" max="5"/>
  </cols>
  <sheetData>
    <row r="1" ht="30" customHeight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</row>
    <row r="2">
      <c r="A2" s="2" t="inlineStr">
        <is>
          <t>isu-sjd-457</t>
        </is>
      </c>
      <c r="B2" s="3" t="inlineStr">
        <is>
          <t>2021-08-19 16:45:43</t>
        </is>
      </c>
      <c r="C2" s="3" t="inlineStr">
        <is>
          <t>2021-08-22 12:33:32</t>
        </is>
      </c>
      <c r="D2" s="2" t="inlineStr">
        <is>
          <t>wrqy-juv-978</t>
        </is>
      </c>
      <c r="E2" s="2" t="inlineStr">
        <is>
          <t>vew-iuvd-12</t>
        </is>
      </c>
    </row>
    <row r="3">
      <c r="A3" s="4" t="inlineStr">
        <is>
          <t>qer-fal-092</t>
        </is>
      </c>
      <c r="B3" s="5" t="inlineStr">
        <is>
          <t>2021-08-21 11:09:22</t>
        </is>
      </c>
      <c r="C3" s="5" t="inlineStr">
        <is>
          <t>2021-08-21 17:13:45</t>
        </is>
      </c>
      <c r="D3" s="4" t="inlineStr">
        <is>
          <t>8woh-k3u-23b</t>
        </is>
      </c>
      <c r="E3" s="4" t="inlineStr">
        <is>
          <t>cms-ber-34</t>
        </is>
      </c>
    </row>
    <row r="4">
      <c r="A4" s="2" t="inlineStr">
        <is>
          <t>isu-mno-183</t>
        </is>
      </c>
      <c r="B4" s="3" t="inlineStr">
        <is>
          <t>2021-08-23 09:30:00</t>
        </is>
      </c>
      <c r="C4" s="3" t="inlineStr">
        <is>
          <t>2021-08-23 09:55:00</t>
        </is>
      </c>
      <c r="D4" s="2" t="inlineStr">
        <is>
          <t>wrqy-juv-978</t>
        </is>
      </c>
      <c r="E4" s="2" t="inlineStr">
        <is>
          <t>cms-xyz-55</t>
        </is>
      </c>
    </row>
    <row r="5">
      <c r="A5" s="4" t="inlineStr">
        <is>
          <t>isu-pqr-774</t>
        </is>
      </c>
      <c r="B5" s="5" t="inlineStr">
        <is>
          <t>2021-08-24 14:20:10</t>
        </is>
      </c>
      <c r="C5" s="5" t="inlineStr">
        <is>
          <t>2021-08-25 10:00:00</t>
        </is>
      </c>
      <c r="D5" s="4" t="inlineStr">
        <is>
          <t>8woh-k3u-23b</t>
        </is>
      </c>
      <c r="E5" s="4" t="inlineStr">
        <is>
          <t>cms-abc-77</t>
        </is>
      </c>
    </row>
    <row r="6">
      <c r="A6" s="2" t="inlineStr">
        <is>
          <t>isu-stu-219</t>
        </is>
      </c>
      <c r="B6" s="3" t="inlineStr">
        <is>
          <t>2021-08-25 08:00:00</t>
        </is>
      </c>
      <c r="C6" s="3" t="inlineStr">
        <is>
          <t>2021-08-25 08:45:00</t>
        </is>
      </c>
      <c r="D6" s="2" t="inlineStr">
        <is>
          <t>wrqy-juv-978</t>
        </is>
      </c>
      <c r="E6" s="2" t="inlineStr">
        <is>
          <t>cms-def-99</t>
        </is>
      </c>
    </row>
    <row r="7">
      <c r="A7" s="4" t="inlineStr">
        <is>
          <t>isu-vwx-334</t>
        </is>
      </c>
      <c r="B7" s="5" t="inlineStr">
        <is>
          <t>2021-08-26 11:00:00</t>
        </is>
      </c>
      <c r="C7" s="5" t="inlineStr">
        <is>
          <t>2021-08-26 11:30:00</t>
        </is>
      </c>
      <c r="D7" s="4" t="inlineStr">
        <is>
          <t>9ert-lmu-45c</t>
        </is>
      </c>
      <c r="E7" s="4" t="inlineStr">
        <is>
          <t>cms-ghi-11</t>
        </is>
      </c>
    </row>
    <row r="8">
      <c r="A8" s="2" t="inlineStr">
        <is>
          <t>isu-yza-561</t>
        </is>
      </c>
      <c r="B8" s="3" t="inlineStr">
        <is>
          <t>2021-08-27 15:00:00</t>
        </is>
      </c>
      <c r="C8" s="3" t="inlineStr">
        <is>
          <t>2021-08-28 09:00:00</t>
        </is>
      </c>
      <c r="D8" s="2" t="inlineStr">
        <is>
          <t>9ert-lmu-45c</t>
        </is>
      </c>
      <c r="E8" s="2" t="inlineStr">
        <is>
          <t>cms-jkl-22</t>
        </is>
      </c>
    </row>
    <row r="9">
      <c r="A9" s="4" t="inlineStr">
        <is>
          <t>isu-bcd-882</t>
        </is>
      </c>
      <c r="B9" s="5" t="inlineStr">
        <is>
          <t>2021-08-28 10:15:00</t>
        </is>
      </c>
      <c r="C9" s="5" t="inlineStr">
        <is>
          <t>2021-08-28 10:45:00</t>
        </is>
      </c>
      <c r="D9" s="4" t="inlineStr">
        <is>
          <t>wrqy-juv-978</t>
        </is>
      </c>
      <c r="E9" s="4" t="inlineStr">
        <is>
          <t>cms-mno-33</t>
        </is>
      </c>
    </row>
    <row r="10">
      <c r="A10" s="2" t="inlineStr">
        <is>
          <t>isu-efg-103</t>
        </is>
      </c>
      <c r="B10" s="3" t="inlineStr">
        <is>
          <t>2021-08-29 13:30:00</t>
        </is>
      </c>
      <c r="C10" s="3" t="inlineStr">
        <is>
          <t>2021-08-30 13:30:00</t>
        </is>
      </c>
      <c r="D10" s="2" t="inlineStr">
        <is>
          <t>8woh-k3u-23b</t>
        </is>
      </c>
      <c r="E10" s="2" t="inlineStr">
        <is>
          <t>cms-pqr-44</t>
        </is>
      </c>
    </row>
    <row r="11">
      <c r="A11" s="4" t="inlineStr">
        <is>
          <t>isu-hij-247</t>
        </is>
      </c>
      <c r="B11" s="5" t="inlineStr">
        <is>
          <t>2021-08-30 16:00:00</t>
        </is>
      </c>
      <c r="C11" s="5" t="inlineStr">
        <is>
          <t>2021-08-30 16:50:00</t>
        </is>
      </c>
      <c r="D11" s="4" t="inlineStr">
        <is>
          <t>9ert-lmu-45c</t>
        </is>
      </c>
      <c r="E11" s="4" t="inlineStr">
        <is>
          <t>cms-stu-55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s="2" t="inlineStr">
        <is>
          <t>vew-iuvd-12</t>
        </is>
      </c>
      <c r="B2" s="3" t="inlineStr">
        <is>
          <t>2021-08-21 13:26:48</t>
        </is>
      </c>
      <c r="C2" s="2" t="n">
        <v>3</v>
      </c>
      <c r="D2" s="6">
        <f>IFERROR(INDEX(ticket!B:B,MATCH(A2,ticket!E:E,0)),"Not Found")</f>
        <v/>
      </c>
    </row>
    <row r="3">
      <c r="A3" s="4" t="inlineStr">
        <is>
          <t>cms-ber-34</t>
        </is>
      </c>
      <c r="B3" s="5" t="inlineStr">
        <is>
          <t>2021-08-22 10:00:00</t>
        </is>
      </c>
      <c r="C3" s="4" t="n">
        <v>5</v>
      </c>
      <c r="D3" s="6">
        <f>IFERROR(INDEX(ticket!B:B,MATCH(A3,ticket!E:E,0)),"Not Found")</f>
        <v/>
      </c>
    </row>
    <row r="4">
      <c r="A4" s="2" t="inlineStr">
        <is>
          <t>cms-xyz-55</t>
        </is>
      </c>
      <c r="B4" s="3" t="inlineStr">
        <is>
          <t>2021-08-23 11:00:00</t>
        </is>
      </c>
      <c r="C4" s="2" t="n">
        <v>4</v>
      </c>
      <c r="D4" s="6">
        <f>IFERROR(INDEX(ticket!B:B,MATCH(A4,ticket!E:E,0)),"Not Found")</f>
        <v/>
      </c>
    </row>
    <row r="5">
      <c r="A5" s="4" t="inlineStr">
        <is>
          <t>cms-abc-77</t>
        </is>
      </c>
      <c r="B5" s="5" t="inlineStr">
        <is>
          <t>2021-08-25 14:30:00</t>
        </is>
      </c>
      <c r="C5" s="4" t="n">
        <v>2</v>
      </c>
      <c r="D5" s="6">
        <f>IFERROR(INDEX(ticket!B:B,MATCH(A5,ticket!E:E,0)),"Not Found")</f>
        <v/>
      </c>
    </row>
    <row r="6">
      <c r="A6" s="2" t="inlineStr">
        <is>
          <t>cms-def-99</t>
        </is>
      </c>
      <c r="B6" s="3" t="inlineStr">
        <is>
          <t>2021-08-25 09:30:00</t>
        </is>
      </c>
      <c r="C6" s="2" t="n">
        <v>5</v>
      </c>
      <c r="D6" s="6">
        <f>IFERROR(INDEX(ticket!B:B,MATCH(A6,ticket!E:E,0)),"Not Found")</f>
        <v/>
      </c>
    </row>
    <row r="7">
      <c r="A7" s="4" t="inlineStr">
        <is>
          <t>cms-ghi-11</t>
        </is>
      </c>
      <c r="B7" s="5" t="inlineStr">
        <is>
          <t>2021-08-26 12:00:00</t>
        </is>
      </c>
      <c r="C7" s="4" t="n">
        <v>3</v>
      </c>
      <c r="D7" s="6">
        <f>IFERROR(INDEX(ticket!B:B,MATCH(A7,ticket!E:E,0)),"Not Found")</f>
        <v/>
      </c>
    </row>
    <row r="8">
      <c r="A8" s="2" t="inlineStr">
        <is>
          <t>cms-jkl-22</t>
        </is>
      </c>
      <c r="B8" s="3" t="inlineStr">
        <is>
          <t>2021-08-28 10:00:00</t>
        </is>
      </c>
      <c r="C8" s="2" t="n">
        <v>4</v>
      </c>
      <c r="D8" s="6">
        <f>IFERROR(INDEX(ticket!B:B,MATCH(A8,ticket!E:E,0)),"Not Found")</f>
        <v/>
      </c>
    </row>
    <row r="9">
      <c r="A9" s="4" t="inlineStr">
        <is>
          <t>cms-mno-33</t>
        </is>
      </c>
      <c r="B9" s="5" t="inlineStr">
        <is>
          <t>2021-08-28 11:30:00</t>
        </is>
      </c>
      <c r="C9" s="4" t="n">
        <v>5</v>
      </c>
      <c r="D9" s="6">
        <f>IFERROR(INDEX(ticket!B:B,MATCH(A9,ticket!E:E,0)),"Not Found")</f>
        <v/>
      </c>
    </row>
    <row r="10">
      <c r="A10" s="2" t="inlineStr">
        <is>
          <t>cms-pqr-44</t>
        </is>
      </c>
      <c r="B10" s="3" t="inlineStr">
        <is>
          <t>2021-08-30 14:00:00</t>
        </is>
      </c>
      <c r="C10" s="2" t="n">
        <v>1</v>
      </c>
      <c r="D10" s="6">
        <f>IFERROR(INDEX(ticket!B:B,MATCH(A10,ticket!E:E,0)),"Not Found")</f>
        <v/>
      </c>
    </row>
    <row r="11">
      <c r="A11" s="4" t="inlineStr">
        <is>
          <t>cms-stu-55</t>
        </is>
      </c>
      <c r="B11" s="5" t="inlineStr">
        <is>
          <t>2021-08-31 09:00:00</t>
        </is>
      </c>
      <c r="C11" s="4" t="n">
        <v>4</v>
      </c>
      <c r="D11" s="6">
        <f>IFERROR(INDEX(ticket!B:B,MATCH(A11,ticket!E:E,0)),"Not Found")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12" customWidth="1" min="5" max="5"/>
    <col width="12" customWidth="1" min="6" max="6"/>
  </cols>
  <sheetData>
    <row r="1" ht="28" customHeight="1">
      <c r="A1" s="7" t="inlineStr">
        <is>
          <t>Ticket Analysis – Q2: Outlet-wise Same Day &amp; Same Hour Closure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9" t="n"/>
    </row>
    <row r="2">
      <c r="A2" s="1" t="inlineStr">
        <is>
          <t>ticket_id</t>
        </is>
      </c>
      <c r="B2" s="1" t="inlineStr">
        <is>
          <t>outlet_id</t>
        </is>
      </c>
      <c r="C2" s="1" t="inlineStr">
        <is>
          <t>created_at</t>
        </is>
      </c>
      <c r="D2" s="1" t="inlineStr">
        <is>
          <t>closed_at</t>
        </is>
      </c>
      <c r="E2" s="1" t="inlineStr">
        <is>
          <t>same_day?</t>
        </is>
      </c>
      <c r="F2" s="1" t="inlineStr">
        <is>
          <t>same_hour?</t>
        </is>
      </c>
    </row>
    <row r="3">
      <c r="A3" s="2" t="inlineStr">
        <is>
          <t>isu-sjd-457</t>
        </is>
      </c>
      <c r="B3" s="2" t="inlineStr">
        <is>
          <t>wrqy-juv-978</t>
        </is>
      </c>
      <c r="C3" s="3" t="inlineStr">
        <is>
          <t>2021-08-19 16:45:43</t>
        </is>
      </c>
      <c r="D3" s="3" t="inlineStr">
        <is>
          <t>2021-08-22 12:33:32</t>
        </is>
      </c>
      <c r="E3" s="10">
        <f>IF(INT(C3)=INT(D3),"Yes","No")</f>
        <v/>
      </c>
      <c r="F3" s="10">
        <f>IF(AND(INT(C3)=INT(D3),HOUR(C3)=HOUR(D3)),"Yes","No")</f>
        <v/>
      </c>
    </row>
    <row r="4">
      <c r="A4" s="4" t="inlineStr">
        <is>
          <t>qer-fal-092</t>
        </is>
      </c>
      <c r="B4" s="4" t="inlineStr">
        <is>
          <t>8woh-k3u-23b</t>
        </is>
      </c>
      <c r="C4" s="5" t="inlineStr">
        <is>
          <t>2021-08-21 11:09:22</t>
        </is>
      </c>
      <c r="D4" s="5" t="inlineStr">
        <is>
          <t>2021-08-21 17:13:45</t>
        </is>
      </c>
      <c r="E4" s="10">
        <f>IF(INT(C4)=INT(D4),"Yes","No")</f>
        <v/>
      </c>
      <c r="F4" s="10">
        <f>IF(AND(INT(C4)=INT(D4),HOUR(C4)=HOUR(D4)),"Yes","No")</f>
        <v/>
      </c>
    </row>
    <row r="5">
      <c r="A5" s="2" t="inlineStr">
        <is>
          <t>isu-mno-183</t>
        </is>
      </c>
      <c r="B5" s="2" t="inlineStr">
        <is>
          <t>wrqy-juv-978</t>
        </is>
      </c>
      <c r="C5" s="3" t="inlineStr">
        <is>
          <t>2021-08-23 09:30:00</t>
        </is>
      </c>
      <c r="D5" s="3" t="inlineStr">
        <is>
          <t>2021-08-23 09:55:00</t>
        </is>
      </c>
      <c r="E5" s="10">
        <f>IF(INT(C5)=INT(D5),"Yes","No")</f>
        <v/>
      </c>
      <c r="F5" s="10">
        <f>IF(AND(INT(C5)=INT(D5),HOUR(C5)=HOUR(D5)),"Yes","No")</f>
        <v/>
      </c>
    </row>
    <row r="6">
      <c r="A6" s="4" t="inlineStr">
        <is>
          <t>isu-pqr-774</t>
        </is>
      </c>
      <c r="B6" s="4" t="inlineStr">
        <is>
          <t>8woh-k3u-23b</t>
        </is>
      </c>
      <c r="C6" s="5" t="inlineStr">
        <is>
          <t>2021-08-24 14:20:10</t>
        </is>
      </c>
      <c r="D6" s="5" t="inlineStr">
        <is>
          <t>2021-08-25 10:00:00</t>
        </is>
      </c>
      <c r="E6" s="10">
        <f>IF(INT(C6)=INT(D6),"Yes","No")</f>
        <v/>
      </c>
      <c r="F6" s="10">
        <f>IF(AND(INT(C6)=INT(D6),HOUR(C6)=HOUR(D6)),"Yes","No")</f>
        <v/>
      </c>
    </row>
    <row r="7">
      <c r="A7" s="2" t="inlineStr">
        <is>
          <t>isu-stu-219</t>
        </is>
      </c>
      <c r="B7" s="2" t="inlineStr">
        <is>
          <t>wrqy-juv-978</t>
        </is>
      </c>
      <c r="C7" s="3" t="inlineStr">
        <is>
          <t>2021-08-25 08:00:00</t>
        </is>
      </c>
      <c r="D7" s="3" t="inlineStr">
        <is>
          <t>2021-08-25 08:45:00</t>
        </is>
      </c>
      <c r="E7" s="10">
        <f>IF(INT(C7)=INT(D7),"Yes","No")</f>
        <v/>
      </c>
      <c r="F7" s="10">
        <f>IF(AND(INT(C7)=INT(D7),HOUR(C7)=HOUR(D7)),"Yes","No")</f>
        <v/>
      </c>
    </row>
    <row r="8">
      <c r="A8" s="4" t="inlineStr">
        <is>
          <t>isu-vwx-334</t>
        </is>
      </c>
      <c r="B8" s="4" t="inlineStr">
        <is>
          <t>9ert-lmu-45c</t>
        </is>
      </c>
      <c r="C8" s="5" t="inlineStr">
        <is>
          <t>2021-08-26 11:00:00</t>
        </is>
      </c>
      <c r="D8" s="5" t="inlineStr">
        <is>
          <t>2021-08-26 11:30:00</t>
        </is>
      </c>
      <c r="E8" s="10">
        <f>IF(INT(C8)=INT(D8),"Yes","No")</f>
        <v/>
      </c>
      <c r="F8" s="10">
        <f>IF(AND(INT(C8)=INT(D8),HOUR(C8)=HOUR(D8)),"Yes","No")</f>
        <v/>
      </c>
    </row>
    <row r="9">
      <c r="A9" s="2" t="inlineStr">
        <is>
          <t>isu-yza-561</t>
        </is>
      </c>
      <c r="B9" s="2" t="inlineStr">
        <is>
          <t>9ert-lmu-45c</t>
        </is>
      </c>
      <c r="C9" s="3" t="inlineStr">
        <is>
          <t>2021-08-27 15:00:00</t>
        </is>
      </c>
      <c r="D9" s="3" t="inlineStr">
        <is>
          <t>2021-08-28 09:00:00</t>
        </is>
      </c>
      <c r="E9" s="10">
        <f>IF(INT(C9)=INT(D9),"Yes","No")</f>
        <v/>
      </c>
      <c r="F9" s="10">
        <f>IF(AND(INT(C9)=INT(D9),HOUR(C9)=HOUR(D9)),"Yes","No")</f>
        <v/>
      </c>
    </row>
    <row r="10">
      <c r="A10" s="4" t="inlineStr">
        <is>
          <t>isu-bcd-882</t>
        </is>
      </c>
      <c r="B10" s="4" t="inlineStr">
        <is>
          <t>wrqy-juv-978</t>
        </is>
      </c>
      <c r="C10" s="5" t="inlineStr">
        <is>
          <t>2021-08-28 10:15:00</t>
        </is>
      </c>
      <c r="D10" s="5" t="inlineStr">
        <is>
          <t>2021-08-28 10:45:00</t>
        </is>
      </c>
      <c r="E10" s="10">
        <f>IF(INT(C10)=INT(D10),"Yes","No")</f>
        <v/>
      </c>
      <c r="F10" s="10">
        <f>IF(AND(INT(C10)=INT(D10),HOUR(C10)=HOUR(D10)),"Yes","No")</f>
        <v/>
      </c>
    </row>
    <row r="11">
      <c r="A11" s="2" t="inlineStr">
        <is>
          <t>isu-efg-103</t>
        </is>
      </c>
      <c r="B11" s="2" t="inlineStr">
        <is>
          <t>8woh-k3u-23b</t>
        </is>
      </c>
      <c r="C11" s="3" t="inlineStr">
        <is>
          <t>2021-08-29 13:30:00</t>
        </is>
      </c>
      <c r="D11" s="3" t="inlineStr">
        <is>
          <t>2021-08-30 13:30:00</t>
        </is>
      </c>
      <c r="E11" s="10">
        <f>IF(INT(C11)=INT(D11),"Yes","No")</f>
        <v/>
      </c>
      <c r="F11" s="10">
        <f>IF(AND(INT(C11)=INT(D11),HOUR(C11)=HOUR(D11)),"Yes","No")</f>
        <v/>
      </c>
    </row>
    <row r="12">
      <c r="A12" s="4" t="inlineStr">
        <is>
          <t>isu-hij-247</t>
        </is>
      </c>
      <c r="B12" s="4" t="inlineStr">
        <is>
          <t>9ert-lmu-45c</t>
        </is>
      </c>
      <c r="C12" s="5" t="inlineStr">
        <is>
          <t>2021-08-30 16:00:00</t>
        </is>
      </c>
      <c r="D12" s="5" t="inlineStr">
        <is>
          <t>2021-08-30 16:50:00</t>
        </is>
      </c>
      <c r="E12" s="10">
        <f>IF(INT(C12)=INT(D12),"Yes","No")</f>
        <v/>
      </c>
      <c r="F12" s="10">
        <f>IF(AND(INT(C12)=INT(D12),HOUR(C12)=HOUR(D12)),"Yes","No")</f>
        <v/>
      </c>
    </row>
    <row r="14">
      <c r="A14" s="7" t="inlineStr">
        <is>
          <t>Outlet-wise Count Summary</t>
        </is>
      </c>
      <c r="B14" s="8" t="n"/>
      <c r="C14" s="8" t="n"/>
      <c r="D14" s="8" t="n"/>
      <c r="E14" s="8" t="n"/>
      <c r="F14" s="9" t="n"/>
    </row>
    <row r="15">
      <c r="A15" s="1" t="inlineStr">
        <is>
          <t>outlet_id</t>
        </is>
      </c>
      <c r="B15" s="1" t="inlineStr">
        <is>
          <t>Tickets Created &amp; Closed Same Day</t>
        </is>
      </c>
      <c r="C15" s="1" t="inlineStr">
        <is>
          <t>Tickets Created &amp; Closed Same Hour</t>
        </is>
      </c>
    </row>
    <row r="16">
      <c r="A16" s="4" t="inlineStr">
        <is>
          <t>8woh-k3u-23b</t>
        </is>
      </c>
      <c r="B16" s="10">
        <f>COUNTIFS($B$3:$B$12,A16,$E$3:$E$12,"Yes")</f>
        <v/>
      </c>
      <c r="C16" s="10">
        <f>COUNTIFS($B$3:$B$12,A16,$F$3:$F$12,"Yes")</f>
        <v/>
      </c>
    </row>
    <row r="17">
      <c r="A17" s="4" t="inlineStr">
        <is>
          <t>9ert-lmu-45c</t>
        </is>
      </c>
      <c r="B17" s="10">
        <f>COUNTIFS($B$3:$B$12,A17,$E$3:$E$12,"Yes")</f>
        <v/>
      </c>
      <c r="C17" s="10">
        <f>COUNTIFS($B$3:$B$12,A17,$F$3:$F$12,"Yes")</f>
        <v/>
      </c>
    </row>
    <row r="18">
      <c r="A18" s="4" t="inlineStr">
        <is>
          <t>wrqy-juv-978</t>
        </is>
      </c>
      <c r="B18" s="10">
        <f>COUNTIFS($B$3:$B$12,A18,$E$3:$E$12,"Yes")</f>
        <v/>
      </c>
      <c r="C18" s="10">
        <f>COUNTIFS($B$3:$B$12,A18,$F$3:$F$12,"Yes")</f>
        <v/>
      </c>
    </row>
  </sheetData>
  <mergeCells count="2">
    <mergeCell ref="A14:F14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</cols>
  <sheetData>
    <row r="1">
      <c r="A1" s="7" t="inlineStr">
        <is>
          <t>PlatinumRx Assignment – Spreadsheet Phase Documentation</t>
        </is>
      </c>
      <c r="B1" s="8" t="n"/>
      <c r="C1" s="9" t="n"/>
    </row>
    <row r="2">
      <c r="A2" s="1" t="inlineStr">
        <is>
          <t>Sheet</t>
        </is>
      </c>
      <c r="B2" s="1" t="inlineStr">
        <is>
          <t>Formula / Technique</t>
        </is>
      </c>
      <c r="C2" s="1" t="inlineStr">
        <is>
          <t>Explanation</t>
        </is>
      </c>
    </row>
    <row r="3" ht="60" customHeight="1">
      <c r="A3" s="11" t="inlineStr">
        <is>
          <t>feedbacks</t>
        </is>
      </c>
      <c r="B3" s="11" t="inlineStr">
        <is>
          <t>ticket_created_at (col D)</t>
        </is>
      </c>
      <c r="C3" s="11">
        <f>IFERROR(INDEX(ticket!B:B,MATCH(A2,ticket!E:E,0)),"Not Found") – Finds cms_id in ticket sheet col E, returns corresponding created_at from col B. INDEX+MATCH is preferred over VLOOKUP as lookup column need not be first.</f>
        <v/>
      </c>
    </row>
    <row r="4" ht="60" customHeight="1">
      <c r="A4" s="12" t="inlineStr">
        <is>
          <t>analysis</t>
        </is>
      </c>
      <c r="B4" s="12" t="inlineStr">
        <is>
          <t>Same Day? (col E)</t>
        </is>
      </c>
      <c r="C4" s="12">
        <f>IF(INT(C3)=INT(D3),"Yes","No") – INT() strips the time portion from a datetime serial. If both dates have the same integer part, the ticket was opened and closed on the same calendar day.</f>
        <v/>
      </c>
    </row>
    <row r="5" ht="60" customHeight="1">
      <c r="A5" s="11" t="inlineStr">
        <is>
          <t>analysis</t>
        </is>
      </c>
      <c r="B5" s="11" t="inlineStr">
        <is>
          <t>Same Hour? (col F)</t>
        </is>
      </c>
      <c r="C5" s="11">
        <f>IF(AND(INT(C3)=INT(D3),HOUR(C3)=HOUR(D3)),"Yes","No") – First ensures same day, then checks HOUR() of both timestamps. Both conditions must be true (AND) for 'Yes'.</f>
        <v/>
      </c>
    </row>
    <row r="6" ht="60" customHeight="1">
      <c r="A6" s="12" t="inlineStr">
        <is>
          <t>analysis</t>
        </is>
      </c>
      <c r="B6" s="12" t="inlineStr">
        <is>
          <t>Summary COUNTIFS</t>
        </is>
      </c>
      <c r="C6" s="12">
        <f>COUNTIFS($B$3:$B$12,A14,$E$3:$E$12,"Yes") – Counts rows where outlet_id matches AND same_day/same_hour is 'Yes'. Absolute references ($) let the formula be copied down without drift.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2026-04-08T12:42:31Z</dcterms:created>
  <dcterms:modified xmlns:dcterms="http://purl.org/dc/terms/" xmlns:xsi="http://www.w3.org/2001/XMLSchema-instance" xsi:type="dcterms:W3CDTF">2026-04-08T12:42:31Z</dcterms:modified>
</cp:coreProperties>
</file>